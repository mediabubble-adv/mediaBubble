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Data_support" sheetId="2" r:id="rId5"/>
  </sheets>
  <definedNames/>
  <calcPr/>
</workbook>
</file>

<file path=xl/sharedStrings.xml><?xml version="1.0" encoding="utf-8"?>
<sst xmlns="http://schemas.openxmlformats.org/spreadsheetml/2006/main" count="141" uniqueCount="113">
  <si>
    <t>Landing Page Briefing Template</t>
  </si>
  <si>
    <t>Description</t>
  </si>
  <si>
    <t xml:space="preserve">Internal Name: </t>
  </si>
  <si>
    <t>00043 - TOFU - Email Signup - Emoji Cheat Sheet Download - Facebook Ads edition</t>
  </si>
  <si>
    <t xml:space="preserve">Version: </t>
  </si>
  <si>
    <t xml:space="preserve">Publish Date: </t>
  </si>
  <si>
    <t xml:space="preserve">Responsible: </t>
  </si>
  <si>
    <t>Tommy</t>
  </si>
  <si>
    <t xml:space="preserve">Task URL: </t>
  </si>
  <si>
    <t>https://app.asana.com/0/485230154064385/515040053021500</t>
  </si>
  <si>
    <t xml:space="preserve">Status: </t>
  </si>
  <si>
    <t>Ready to Publish</t>
  </si>
  <si>
    <t xml:space="preserve"> </t>
  </si>
  <si>
    <t>Search Engine Optimization</t>
  </si>
  <si>
    <t>URL</t>
  </si>
  <si>
    <t>http://asiteaboutemojis.com/facebook-ads-emoji-list</t>
  </si>
  <si>
    <t xml:space="preserve">Title: </t>
  </si>
  <si>
    <t>Facebook Ads Emoji Cheat Sheet Download</t>
  </si>
  <si>
    <t xml:space="preserve">Meta-description: </t>
  </si>
  <si>
    <t>Get 2 digit Ad Click-through-rates without investing dozens of hours and hundreds of dollars in copywriting.</t>
  </si>
  <si>
    <t>Indexed by Search Engines:</t>
  </si>
  <si>
    <t>Yes</t>
  </si>
  <si>
    <t>Canonical URL:</t>
  </si>
  <si>
    <t>http://offer.asiteaboutemojis.com/facebook-ads-emoji-list</t>
  </si>
  <si>
    <t>Favicon:</t>
  </si>
  <si>
    <t>https://www.clickminded.com/favicon.ico</t>
  </si>
  <si>
    <t>Social</t>
  </si>
  <si>
    <t>Facebook/G+ Sharing: Title</t>
  </si>
  <si>
    <t>Facebook/G+ Sharing: Description</t>
  </si>
  <si>
    <t>Facebook/G+ Sharing: Image</t>
  </si>
  <si>
    <t>http://www.asiteaboutemojis.com/wp-content/uploads/2018/01/2018_EmojiOfferFacebookAds.jpg</t>
  </si>
  <si>
    <t>Twitter Description</t>
  </si>
  <si>
    <t>Targeting</t>
  </si>
  <si>
    <t>Persona:</t>
  </si>
  <si>
    <t>Mark the Entrepreneur</t>
  </si>
  <si>
    <t>Buyer's Journey Stage:</t>
  </si>
  <si>
    <t>TOFU / Awareness</t>
  </si>
  <si>
    <t xml:space="preserve">User Intent: </t>
  </si>
  <si>
    <t>Getting a free emoji cheat sheet to use with Facebook Ads</t>
  </si>
  <si>
    <t>Traffic Source</t>
  </si>
  <si>
    <t xml:space="preserve">Facebook Ads </t>
  </si>
  <si>
    <t>Devices</t>
  </si>
  <si>
    <t>Desktop only</t>
  </si>
  <si>
    <t>Landing Page Goal</t>
  </si>
  <si>
    <t>Email sign up</t>
  </si>
  <si>
    <t>Landing Page Elements</t>
  </si>
  <si>
    <t>Headline:</t>
  </si>
  <si>
    <t>Get 2 digit Ad Click-through-rates without investing dozens of hours and hundreds of dollars in copywriting</t>
  </si>
  <si>
    <t xml:space="preserve">Sub-headline: </t>
  </si>
  <si>
    <t xml:space="preserve">Download this free emoji cheat sheet and skyrocket your ads today. </t>
  </si>
  <si>
    <t>Bullet-header</t>
  </si>
  <si>
    <t>N/A</t>
  </si>
  <si>
    <t>Bullet-points</t>
  </si>
  <si>
    <t xml:space="preserve"> • Updated for 2018 • Mobile compatible • Downloadable / Printable PDF</t>
  </si>
  <si>
    <t>Form fields:</t>
  </si>
  <si>
    <t>Email</t>
  </si>
  <si>
    <t xml:space="preserve">Call-to-action: </t>
  </si>
  <si>
    <t>DOWNLOAD NOW</t>
  </si>
  <si>
    <t>Trust/Authority Elements:</t>
  </si>
  <si>
    <t>Featured on: Forbes | Business Insider | SocialMedia Emoji Institute // Testimonials: "Wow" - M. Zuckerberg</t>
  </si>
  <si>
    <t>Guarantee:</t>
  </si>
  <si>
    <t xml:space="preserve">Your email address is secure. ✓  No spam - we hate it even more than you. ♥ </t>
  </si>
  <si>
    <t>Personalized elements:</t>
  </si>
  <si>
    <t>Our emoji list features local emojis, we've got {Insert user city} specific emojis. Check them out.</t>
  </si>
  <si>
    <t>Time-restrictions:</t>
  </si>
  <si>
    <t>Available for the next 3 days only</t>
  </si>
  <si>
    <t xml:space="preserve">Copy Document: </t>
  </si>
  <si>
    <t>https://docs.google.com/document/d/19qgBIJauur2PJZr8LG7kXEgTbUYo7uUZDOJ93ncZb3k/edit</t>
  </si>
  <si>
    <t>Images:</t>
  </si>
  <si>
    <t xml:space="preserve">No Images </t>
  </si>
  <si>
    <t xml:space="preserve">Videos: </t>
  </si>
  <si>
    <t>No Videos</t>
  </si>
  <si>
    <t xml:space="preserve">Logo: </t>
  </si>
  <si>
    <t>http://www.asiteaboutemojis.com/wp-content/uploads/2018/01/20180601_CM_Logo_Asiteaboutemojis.png</t>
  </si>
  <si>
    <t>Checklist</t>
  </si>
  <si>
    <t>Design</t>
  </si>
  <si>
    <t>Company Logo</t>
  </si>
  <si>
    <t>Pending</t>
  </si>
  <si>
    <t>Headline above the fold</t>
  </si>
  <si>
    <t>Call-to-action above the fold</t>
  </si>
  <si>
    <t>Call-to-action Color contrasts with the rest of the page</t>
  </si>
  <si>
    <t>Background images do not affect text readibility</t>
  </si>
  <si>
    <t>No more than 3 colors for all the elements</t>
  </si>
  <si>
    <t>Functionality</t>
  </si>
  <si>
    <t xml:space="preserve">Google Tag Manager </t>
  </si>
  <si>
    <t>Done</t>
  </si>
  <si>
    <t>Facebook Pixel Tag</t>
  </si>
  <si>
    <t>Facebook Conversion Tracking</t>
  </si>
  <si>
    <t>Not Required</t>
  </si>
  <si>
    <t>Google Analytics Tag</t>
  </si>
  <si>
    <t>Google Analytics Conversion Tracking</t>
  </si>
  <si>
    <t>Email Service Provider integration</t>
  </si>
  <si>
    <t>Form Submission</t>
  </si>
  <si>
    <t>302 Redirect Test</t>
  </si>
  <si>
    <t>Thank you page created</t>
  </si>
  <si>
    <t>Spell Checked</t>
  </si>
  <si>
    <t>Sharing Buttons Tested</t>
  </si>
  <si>
    <t>Terms and Conditions</t>
  </si>
  <si>
    <t xml:space="preserve">Privacy Policy </t>
  </si>
  <si>
    <t xml:space="preserve">Optin Checkbox </t>
  </si>
  <si>
    <t>Navigation removed</t>
  </si>
  <si>
    <t>Mobile Device Test</t>
  </si>
  <si>
    <t>Browser Compatibility Tests</t>
  </si>
  <si>
    <t>Speed Test</t>
  </si>
  <si>
    <t>Status</t>
  </si>
  <si>
    <t>Funnel Stages</t>
  </si>
  <si>
    <t>Select an option from the dropdown</t>
  </si>
  <si>
    <t>Planning Stage</t>
  </si>
  <si>
    <t>MOFU / Consideration</t>
  </si>
  <si>
    <t>Design Stage</t>
  </si>
  <si>
    <t>BOFU / Conversion</t>
  </si>
  <si>
    <t>Published</t>
  </si>
  <si>
    <t>Unpublished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</si>
</sst>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color rgb="FFFFFFFF"/>
      <name val="Poppins"/>
    </font>
    <font>
      <color rgb="FFFFFFFF"/>
      <name val="Poppins"/>
    </font>
    <font>
      <name val="Poppins"/>
    </font>
    <font>
      <name val="Calibri"/>
    </font>
    <font>
      <u/>
      <color rgb="FF0000FF"/>
      <name val="Calibri"/>
    </font>
    <font/>
    <font>
      <color rgb="FFCC0000"/>
    </font>
    <font>
      <u/>
      <color rgb="FF1155CC"/>
      <name val="Calibri"/>
    </font>
    <font>
      <color rgb="FFE06666"/>
    </font>
    <font>
      <color rgb="FF000000"/>
      <name val="Poppins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center"/>
    </xf>
    <xf borderId="0" fillId="2" fontId="2" numFmtId="0" xfId="0" applyAlignment="1" applyFont="1">
      <alignment horizontal="center" readingOrder="0" vertical="bottom"/>
    </xf>
    <xf borderId="0" fillId="3" fontId="10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sana.com/0/485230154064385/515040053021500" TargetMode="External"/><Relationship Id="rId2" Type="http://schemas.openxmlformats.org/officeDocument/2006/relationships/hyperlink" Target="http://asiteaboutemojis.com/facebook-ads-emoji-list" TargetMode="External"/><Relationship Id="rId3" Type="http://schemas.openxmlformats.org/officeDocument/2006/relationships/hyperlink" Target="http://offer.asiteaboutemojis.com/facebook-ads-emoji-list" TargetMode="External"/><Relationship Id="rId4" Type="http://schemas.openxmlformats.org/officeDocument/2006/relationships/hyperlink" Target="https://www.clickminded.com/favicon.ico" TargetMode="External"/><Relationship Id="rId5" Type="http://schemas.openxmlformats.org/officeDocument/2006/relationships/hyperlink" Target="http://www.asiteaboutemojis.com/wp-content/uploads/2018/01/2018_EmojiOfferFacebookAds.jpg" TargetMode="External"/><Relationship Id="rId6" Type="http://schemas.openxmlformats.org/officeDocument/2006/relationships/hyperlink" Target="https://docs.google.com/document/d/19qgBIJauur2PJZr8LG7kXEgTbUYo7uUZDOJ93ncZb3k/edit" TargetMode="External"/><Relationship Id="rId7" Type="http://schemas.openxmlformats.org/officeDocument/2006/relationships/hyperlink" Target="http://www.asiteaboutemojis.com/wp-content/uploads/2018/01/20180601_CM_Logo_Asiteaboutemojis.png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2" max="2" width="78.5"/>
    <col customWidth="1" min="3" max="3" width="28.1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</row>
    <row r="4">
      <c r="A4" s="3" t="s">
        <v>4</v>
      </c>
      <c r="B4" s="4">
        <v>1.0</v>
      </c>
    </row>
    <row r="5">
      <c r="A5" s="3" t="s">
        <v>5</v>
      </c>
      <c r="B5" s="4">
        <v>1.0</v>
      </c>
    </row>
    <row r="6">
      <c r="A6" s="3" t="s">
        <v>6</v>
      </c>
      <c r="B6" s="4" t="s">
        <v>7</v>
      </c>
    </row>
    <row r="7">
      <c r="A7" s="3" t="s">
        <v>8</v>
      </c>
      <c r="B7" s="5" t="s">
        <v>9</v>
      </c>
    </row>
    <row r="8">
      <c r="A8" s="3" t="s">
        <v>10</v>
      </c>
      <c r="B8" s="4" t="s">
        <v>11</v>
      </c>
      <c r="E8" s="6" t="s">
        <v>12</v>
      </c>
    </row>
    <row r="9">
      <c r="A9" s="3"/>
      <c r="B9" s="4"/>
    </row>
    <row r="10">
      <c r="A10" s="2" t="s">
        <v>13</v>
      </c>
    </row>
    <row r="11">
      <c r="A11" s="3" t="s">
        <v>14</v>
      </c>
      <c r="B11" s="5" t="s">
        <v>15</v>
      </c>
    </row>
    <row r="12">
      <c r="A12" s="3" t="s">
        <v>16</v>
      </c>
      <c r="B12" s="4" t="s">
        <v>17</v>
      </c>
      <c r="C12" s="7" t="str">
        <f>if(LEN(B12)&gt;60,"Warning: Title might be too long","")</f>
        <v/>
      </c>
    </row>
    <row r="13">
      <c r="A13" s="3" t="s">
        <v>18</v>
      </c>
      <c r="B13" s="4" t="s">
        <v>19</v>
      </c>
      <c r="C13" s="8" t="str">
        <f>if(AND(LEN(B13)&gt;160,LEN(B13)&lt;320),"Warning: Meta description might be too long for some landing page builders.", IF(LEN(B13)&gt;320, "Warning: Meta description is too long", " "))</f>
        <v> </v>
      </c>
    </row>
    <row r="14">
      <c r="A14" s="3" t="s">
        <v>20</v>
      </c>
      <c r="B14" s="4" t="s">
        <v>21</v>
      </c>
    </row>
    <row r="15">
      <c r="A15" s="3" t="s">
        <v>22</v>
      </c>
      <c r="B15" s="9" t="s">
        <v>23</v>
      </c>
    </row>
    <row r="16">
      <c r="A16" s="3" t="s">
        <v>24</v>
      </c>
      <c r="B16" s="5" t="s">
        <v>25</v>
      </c>
    </row>
    <row r="17">
      <c r="B17" s="4"/>
    </row>
    <row r="18">
      <c r="A18" s="2" t="s">
        <v>26</v>
      </c>
    </row>
    <row r="19">
      <c r="A19" s="3" t="s">
        <v>27</v>
      </c>
      <c r="B19" s="4" t="str">
        <f t="shared" ref="B19:B20" si="1">B12</f>
        <v>Facebook Ads Emoji Cheat Sheet Download</v>
      </c>
    </row>
    <row r="20">
      <c r="A20" s="3" t="s">
        <v>28</v>
      </c>
      <c r="B20" s="4" t="str">
        <f t="shared" si="1"/>
        <v>Get 2 digit Ad Click-through-rates without investing dozens of hours and hundreds of dollars in copywriting.</v>
      </c>
    </row>
    <row r="21">
      <c r="A21" s="3" t="s">
        <v>29</v>
      </c>
      <c r="B21" s="5" t="s">
        <v>30</v>
      </c>
    </row>
    <row r="22">
      <c r="A22" s="3" t="s">
        <v>31</v>
      </c>
      <c r="B22" s="4" t="s">
        <v>19</v>
      </c>
      <c r="C22" s="8" t="str">
        <f>if(AND(LEN(B22)&gt;140,LEN(B22)&lt;280),"Warning: Twitter description might be too long for some landing page builders.", IF(LEN(B22)&gt;320, "Warning: Twitter description is too long", " "))</f>
        <v> </v>
      </c>
    </row>
    <row r="23">
      <c r="A23" s="3"/>
    </row>
    <row r="24">
      <c r="A24" s="2" t="s">
        <v>32</v>
      </c>
    </row>
    <row r="25">
      <c r="A25" s="3" t="s">
        <v>33</v>
      </c>
      <c r="B25" s="4" t="s">
        <v>34</v>
      </c>
    </row>
    <row r="26">
      <c r="A26" s="3" t="s">
        <v>35</v>
      </c>
      <c r="B26" s="4" t="s">
        <v>36</v>
      </c>
    </row>
    <row r="27">
      <c r="A27" s="3" t="s">
        <v>37</v>
      </c>
      <c r="B27" s="4" t="s">
        <v>38</v>
      </c>
    </row>
    <row r="28">
      <c r="A28" s="3" t="s">
        <v>39</v>
      </c>
      <c r="B28" s="4" t="s">
        <v>40</v>
      </c>
    </row>
    <row r="29">
      <c r="A29" s="3" t="s">
        <v>41</v>
      </c>
      <c r="B29" s="4" t="s">
        <v>42</v>
      </c>
    </row>
    <row r="30">
      <c r="A30" s="3" t="s">
        <v>43</v>
      </c>
      <c r="B30" s="4" t="s">
        <v>44</v>
      </c>
    </row>
    <row r="31">
      <c r="A31" s="3"/>
      <c r="B31" s="4"/>
    </row>
    <row r="32">
      <c r="A32" s="2" t="s">
        <v>45</v>
      </c>
    </row>
    <row r="33">
      <c r="A33" s="3" t="s">
        <v>46</v>
      </c>
      <c r="B33" s="4" t="s">
        <v>47</v>
      </c>
      <c r="C33" s="10" t="str">
        <f>if(ISBLANK(B33),"Warning: Headline is missing"," ")</f>
        <v> </v>
      </c>
    </row>
    <row r="34">
      <c r="A34" s="3" t="s">
        <v>48</v>
      </c>
      <c r="B34" s="4" t="s">
        <v>49</v>
      </c>
    </row>
    <row r="35">
      <c r="A35" s="3" t="s">
        <v>50</v>
      </c>
      <c r="B35" s="4" t="s">
        <v>51</v>
      </c>
    </row>
    <row r="36">
      <c r="A36" s="3" t="s">
        <v>52</v>
      </c>
      <c r="B36" s="4" t="s">
        <v>53</v>
      </c>
    </row>
    <row r="37">
      <c r="A37" s="3" t="s">
        <v>54</v>
      </c>
      <c r="B37" s="4" t="s">
        <v>55</v>
      </c>
    </row>
    <row r="38">
      <c r="A38" s="3" t="s">
        <v>56</v>
      </c>
      <c r="B38" s="4" t="s">
        <v>57</v>
      </c>
      <c r="C38" s="10" t="str">
        <f>if(ISBLANK(B38),"Warning: CTA is missing"," ")</f>
        <v> </v>
      </c>
    </row>
    <row r="39">
      <c r="A39" s="3" t="s">
        <v>58</v>
      </c>
      <c r="B39" s="4" t="s">
        <v>59</v>
      </c>
    </row>
    <row r="40">
      <c r="A40" s="3" t="s">
        <v>60</v>
      </c>
      <c r="B40" s="4" t="s">
        <v>61</v>
      </c>
    </row>
    <row r="41">
      <c r="A41" s="3" t="s">
        <v>62</v>
      </c>
      <c r="B41" s="4" t="s">
        <v>63</v>
      </c>
    </row>
    <row r="42">
      <c r="A42" s="3" t="s">
        <v>64</v>
      </c>
      <c r="B42" s="4" t="s">
        <v>65</v>
      </c>
    </row>
    <row r="43">
      <c r="A43" s="3" t="s">
        <v>66</v>
      </c>
      <c r="B43" s="5" t="s">
        <v>67</v>
      </c>
    </row>
    <row r="44">
      <c r="A44" s="3" t="s">
        <v>68</v>
      </c>
      <c r="B44" s="4" t="s">
        <v>69</v>
      </c>
    </row>
    <row r="45">
      <c r="A45" s="3" t="s">
        <v>70</v>
      </c>
      <c r="B45" s="4" t="s">
        <v>71</v>
      </c>
    </row>
    <row r="46">
      <c r="A46" s="6" t="s">
        <v>72</v>
      </c>
      <c r="B46" s="5" t="s">
        <v>73</v>
      </c>
    </row>
    <row r="47">
      <c r="A47" s="6"/>
      <c r="B47" s="4"/>
    </row>
    <row r="48">
      <c r="A48" s="11" t="s">
        <v>74</v>
      </c>
      <c r="C48" t="str">
        <f>REPT("•", C68)</f>
        <v/>
      </c>
      <c r="E48" s="6"/>
    </row>
    <row r="49">
      <c r="A49" s="12" t="s">
        <v>75</v>
      </c>
      <c r="C49" s="6"/>
    </row>
    <row r="50">
      <c r="A50" s="13" t="s">
        <v>76</v>
      </c>
      <c r="B50" s="4" t="s">
        <v>77</v>
      </c>
      <c r="C50" s="6"/>
    </row>
    <row r="51">
      <c r="A51" s="13" t="s">
        <v>78</v>
      </c>
      <c r="B51" s="4" t="s">
        <v>77</v>
      </c>
      <c r="C51" s="6"/>
    </row>
    <row r="52">
      <c r="A52" s="13" t="s">
        <v>79</v>
      </c>
      <c r="B52" s="4" t="s">
        <v>77</v>
      </c>
      <c r="C52" s="6"/>
    </row>
    <row r="53">
      <c r="A53" s="13" t="s">
        <v>80</v>
      </c>
      <c r="B53" s="4" t="s">
        <v>77</v>
      </c>
      <c r="C53" s="6"/>
    </row>
    <row r="54">
      <c r="A54" s="13" t="s">
        <v>81</v>
      </c>
      <c r="B54" s="4" t="s">
        <v>77</v>
      </c>
      <c r="C54" s="6"/>
    </row>
    <row r="55">
      <c r="A55" s="13" t="s">
        <v>82</v>
      </c>
      <c r="B55" s="4" t="s">
        <v>77</v>
      </c>
      <c r="C55" s="6"/>
    </row>
    <row r="56">
      <c r="A56" s="13"/>
      <c r="C56" s="6"/>
    </row>
    <row r="57">
      <c r="A57" s="14" t="s">
        <v>83</v>
      </c>
      <c r="C57" s="6"/>
    </row>
    <row r="58">
      <c r="A58" s="13" t="s">
        <v>84</v>
      </c>
      <c r="B58" s="4" t="s">
        <v>85</v>
      </c>
      <c r="C58" s="6"/>
    </row>
    <row r="59">
      <c r="A59" s="13" t="s">
        <v>86</v>
      </c>
      <c r="B59" s="4" t="s">
        <v>85</v>
      </c>
      <c r="C59" s="6"/>
    </row>
    <row r="60">
      <c r="A60" s="13" t="s">
        <v>87</v>
      </c>
      <c r="B60" s="4" t="s">
        <v>88</v>
      </c>
      <c r="C60" s="6"/>
    </row>
    <row r="61">
      <c r="A61" s="13" t="s">
        <v>89</v>
      </c>
      <c r="B61" s="4" t="s">
        <v>77</v>
      </c>
    </row>
    <row r="62">
      <c r="A62" s="13" t="s">
        <v>90</v>
      </c>
      <c r="B62" s="4" t="s">
        <v>85</v>
      </c>
    </row>
    <row r="63">
      <c r="A63" s="13" t="s">
        <v>91</v>
      </c>
      <c r="B63" s="4" t="s">
        <v>88</v>
      </c>
      <c r="C63" s="6"/>
    </row>
    <row r="64">
      <c r="A64" s="13" t="s">
        <v>92</v>
      </c>
      <c r="B64" s="4" t="s">
        <v>88</v>
      </c>
      <c r="C64" s="6"/>
    </row>
    <row r="65">
      <c r="A65" s="13" t="s">
        <v>93</v>
      </c>
      <c r="B65" s="4" t="s">
        <v>88</v>
      </c>
      <c r="C65" s="6"/>
    </row>
    <row r="66">
      <c r="A66" s="13" t="s">
        <v>94</v>
      </c>
      <c r="B66" s="4" t="s">
        <v>85</v>
      </c>
      <c r="C66" s="6"/>
    </row>
    <row r="67">
      <c r="A67" s="13" t="s">
        <v>95</v>
      </c>
      <c r="B67" s="4" t="s">
        <v>85</v>
      </c>
      <c r="C67" s="6"/>
    </row>
    <row r="68">
      <c r="A68" s="13" t="s">
        <v>96</v>
      </c>
      <c r="B68" s="4" t="s">
        <v>85</v>
      </c>
    </row>
    <row r="69">
      <c r="A69" s="13" t="s">
        <v>97</v>
      </c>
      <c r="B69" s="4" t="s">
        <v>85</v>
      </c>
    </row>
    <row r="70">
      <c r="A70" s="13" t="s">
        <v>98</v>
      </c>
      <c r="B70" s="4" t="s">
        <v>85</v>
      </c>
    </row>
    <row r="71">
      <c r="A71" s="13" t="s">
        <v>99</v>
      </c>
      <c r="B71" s="4" t="s">
        <v>88</v>
      </c>
    </row>
    <row r="72">
      <c r="A72" s="13" t="s">
        <v>100</v>
      </c>
      <c r="B72" s="4" t="s">
        <v>88</v>
      </c>
    </row>
    <row r="73">
      <c r="A73" s="13" t="s">
        <v>101</v>
      </c>
      <c r="B73" s="4" t="s">
        <v>88</v>
      </c>
    </row>
    <row r="74">
      <c r="A74" s="13" t="s">
        <v>102</v>
      </c>
      <c r="B74" s="4" t="s">
        <v>88</v>
      </c>
    </row>
    <row r="75">
      <c r="A75" s="13" t="s">
        <v>103</v>
      </c>
      <c r="B75" s="4" t="s">
        <v>88</v>
      </c>
    </row>
    <row r="76">
      <c r="A76" s="13"/>
    </row>
  </sheetData>
  <mergeCells count="9">
    <mergeCell ref="A49:B49"/>
    <mergeCell ref="A57:B57"/>
    <mergeCell ref="A1:B1"/>
    <mergeCell ref="A2:B2"/>
    <mergeCell ref="A10:B10"/>
    <mergeCell ref="A18:B18"/>
    <mergeCell ref="A24:B24"/>
    <mergeCell ref="A32:B32"/>
    <mergeCell ref="A48:B48"/>
  </mergeCells>
  <dataValidations>
    <dataValidation type="list" allowBlank="1" sqref="B26">
      <formula1>Data_support!$C$2:$C$4</formula1>
    </dataValidation>
    <dataValidation type="list" allowBlank="1" sqref="B8">
      <formula1>Data_support!$A$2:$A$7</formula1>
    </dataValidation>
    <dataValidation type="list" allowBlank="1" sqref="B50:B55 B58:B75">
      <formula1>Data_support!$B$2:$B$4</formula1>
    </dataValidation>
  </dataValidations>
  <hyperlinks>
    <hyperlink r:id="rId1" ref="B7"/>
    <hyperlink r:id="rId2" ref="B11"/>
    <hyperlink r:id="rId3" ref="B15"/>
    <hyperlink r:id="rId4" ref="B16"/>
    <hyperlink r:id="rId5" ref="B21"/>
    <hyperlink r:id="rId6" ref="B43"/>
    <hyperlink r:id="rId7" ref="B46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104</v>
      </c>
      <c r="B1" s="15" t="s">
        <v>74</v>
      </c>
      <c r="C1" s="15" t="s">
        <v>105</v>
      </c>
    </row>
    <row r="2">
      <c r="A2" s="6" t="s">
        <v>106</v>
      </c>
      <c r="B2" s="6" t="s">
        <v>77</v>
      </c>
      <c r="C2" s="6" t="s">
        <v>36</v>
      </c>
    </row>
    <row r="3">
      <c r="A3" s="6" t="s">
        <v>107</v>
      </c>
      <c r="B3" s="6" t="s">
        <v>85</v>
      </c>
      <c r="C3" s="6" t="s">
        <v>108</v>
      </c>
    </row>
    <row r="4">
      <c r="A4" s="6" t="s">
        <v>109</v>
      </c>
      <c r="B4" s="6" t="s">
        <v>88</v>
      </c>
      <c r="C4" s="6" t="s">
        <v>110</v>
      </c>
    </row>
    <row r="5">
      <c r="A5" s="6" t="s">
        <v>11</v>
      </c>
    </row>
    <row r="6">
      <c r="A6" s="6" t="s">
        <v>111</v>
      </c>
    </row>
    <row r="7">
      <c r="A7" s="6" t="s">
        <v>112</v>
      </c>
    </row>
  </sheetData>
  <drawing r:id="rId1"/>
</worksheet>
</file>